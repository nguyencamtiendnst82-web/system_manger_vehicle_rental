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hk1-2627\cnpm 24-0102\"/>
    </mc:Choice>
  </mc:AlternateContent>
  <xr:revisionPtr revIDLastSave="1" documentId="8_{17E620A0-48FD-424A-B39F-0F448F82157B}" xr6:coauthVersionLast="47" xr6:coauthVersionMax="47" xr10:uidLastSave="{2C06B409-FD65-45D7-80FA-17C051C2E290}"/>
  <bookViews>
    <workbookView xWindow="-110" yWindow="-110" windowWidth="19420" windowHeight="10300" firstSheet="2" activeTab="2" xr2:uid="{BF55F492-1051-49B1-96B4-18F2BC86BAA4}"/>
  </bookViews>
  <sheets>
    <sheet name="cnpm 24cntt1" sheetId="2" r:id="rId1"/>
    <sheet name="group" sheetId="3" r:id="rId2"/>
    <sheet name="project" sheetId="4" r:id="rId3"/>
    <sheet name="convention" sheetId="5" r:id="rId4"/>
  </sheets>
  <definedNames>
    <definedName name="_xlnm._FilterDatabase" localSheetId="0" hidden="1">'cnpm 24cntt1'!$A$7:$G$74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C13" i="3"/>
  <c r="C14" i="3"/>
  <c r="C15" i="3"/>
  <c r="C11" i="3"/>
  <c r="C3" i="3"/>
  <c r="C4" i="3"/>
  <c r="C5" i="3"/>
  <c r="C6" i="3"/>
  <c r="C7" i="3"/>
  <c r="C8" i="3"/>
  <c r="C9" i="3"/>
  <c r="C10" i="3"/>
  <c r="C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2" i="3"/>
  <c r="B16" i="3" l="1"/>
</calcChain>
</file>

<file path=xl/sharedStrings.xml><?xml version="1.0" encoding="utf-8"?>
<sst xmlns="http://schemas.openxmlformats.org/spreadsheetml/2006/main" count="442" uniqueCount="332">
  <si>
    <t>ĐẠI HỌC ĐÀ NẴNG</t>
  </si>
  <si>
    <t>CỘNG HÒA XÃ HỘI CHỦ NGHĨA VIỆT NAM</t>
  </si>
  <si>
    <t>TRƯỜNG ĐẠI HỌC SƯ PHẠM</t>
  </si>
  <si>
    <t>Độc lập - Tự do - Hạnh phúc</t>
  </si>
  <si>
    <t>DANH SÁCH LỚP HỌC PHẦN</t>
  </si>
  <si>
    <t>Học kỳ: 1 Năm học 2026-2027</t>
  </si>
  <si>
    <t>Mã học phần: 31231016</t>
  </si>
  <si>
    <t>Tên học phần: Công nghệ phần mềm</t>
  </si>
  <si>
    <t>Số tín chỉ: 3</t>
  </si>
  <si>
    <t>Nhóm học phần: 24-0102</t>
  </si>
  <si>
    <t>STT</t>
  </si>
  <si>
    <t>Mã SV</t>
  </si>
  <si>
    <t>Họ và tên</t>
  </si>
  <si>
    <t>Ngày sinh</t>
  </si>
  <si>
    <t>Lớp SH</t>
  </si>
  <si>
    <t>Nhóm</t>
  </si>
  <si>
    <t>Notes</t>
  </si>
  <si>
    <t>3120224021</t>
  </si>
  <si>
    <t>Trương Công Quảng</t>
  </si>
  <si>
    <t>Đại</t>
  </si>
  <si>
    <t>20-2-2006</t>
  </si>
  <si>
    <t>24CNTT3</t>
  </si>
  <si>
    <t>3120224181</t>
  </si>
  <si>
    <t>Phommaket</t>
  </si>
  <si>
    <t>Hatsady</t>
  </si>
  <si>
    <t>24-11-2005</t>
  </si>
  <si>
    <t>3120224079</t>
  </si>
  <si>
    <t>Nguyễn Văn</t>
  </si>
  <si>
    <t>Khôi</t>
  </si>
  <si>
    <t>1-1-2006</t>
  </si>
  <si>
    <t>3120224082</t>
  </si>
  <si>
    <t>Phùng Đình Tuấn</t>
  </si>
  <si>
    <t>Kiệt</t>
  </si>
  <si>
    <t>10-5-2006</t>
  </si>
  <si>
    <t>3120224085</t>
  </si>
  <si>
    <t>Linh</t>
  </si>
  <si>
    <t>25-6-2006</t>
  </si>
  <si>
    <t>3120224088</t>
  </si>
  <si>
    <t>Tô Thị Mai</t>
  </si>
  <si>
    <t>27-11-2006</t>
  </si>
  <si>
    <t>3120224101</t>
  </si>
  <si>
    <t>Trương Hồng</t>
  </si>
  <si>
    <t>Ngọc</t>
  </si>
  <si>
    <t>1-3-2006</t>
  </si>
  <si>
    <t>3120224141</t>
  </si>
  <si>
    <t>Võ Trọng</t>
  </si>
  <si>
    <t>Thủy</t>
  </si>
  <si>
    <t>10-3-2006</t>
  </si>
  <si>
    <t>3120224160</t>
  </si>
  <si>
    <t>Nguyễn Thanh</t>
  </si>
  <si>
    <t>Trúc</t>
  </si>
  <si>
    <t>6-6-2006</t>
  </si>
  <si>
    <t>3120224163</t>
  </si>
  <si>
    <t>Nguyễn Quốc</t>
  </si>
  <si>
    <t>Trung</t>
  </si>
  <si>
    <t>3-7-2006</t>
  </si>
  <si>
    <t>3120224171</t>
  </si>
  <si>
    <t>Nguyễn Anh</t>
  </si>
  <si>
    <t>Tuấn</t>
  </si>
  <si>
    <t>6-9-2004</t>
  </si>
  <si>
    <t>3120224008</t>
  </si>
  <si>
    <t>Hoàng Gia</t>
  </si>
  <si>
    <t>Bảo</t>
  </si>
  <si>
    <t>1-12-2006</t>
  </si>
  <si>
    <t>24CNTT2</t>
  </si>
  <si>
    <t>3120224011</t>
  </si>
  <si>
    <t>Nguyễn Hoài</t>
  </si>
  <si>
    <t>2-8-2006</t>
  </si>
  <si>
    <t>3120224020</t>
  </si>
  <si>
    <t>Nguyễn Sơn</t>
  </si>
  <si>
    <t>Chu</t>
  </si>
  <si>
    <t>14-9-2006</t>
  </si>
  <si>
    <t>3120224024</t>
  </si>
  <si>
    <t>Lê Phú</t>
  </si>
  <si>
    <t>Đạt</t>
  </si>
  <si>
    <t>13-4-2006</t>
  </si>
  <si>
    <t>3120224028</t>
  </si>
  <si>
    <t>Nguyễn Đình Minh</t>
  </si>
  <si>
    <t>26-4-2006</t>
  </si>
  <si>
    <t>3120224040</t>
  </si>
  <si>
    <t>Ngô Hương</t>
  </si>
  <si>
    <t>Giang</t>
  </si>
  <si>
    <t>1-7-2006</t>
  </si>
  <si>
    <t>3120224053</t>
  </si>
  <si>
    <t>Trần Hồ Trung</t>
  </si>
  <si>
    <t>Hậu</t>
  </si>
  <si>
    <t>19-3-2006</t>
  </si>
  <si>
    <t>3120224062</t>
  </si>
  <si>
    <t>Phạm Huy</t>
  </si>
  <si>
    <t>Hoàng</t>
  </si>
  <si>
    <t>1-8-2006</t>
  </si>
  <si>
    <t>3120224087</t>
  </si>
  <si>
    <t>Phạm Thị Phương</t>
  </si>
  <si>
    <t>12-8-2006</t>
  </si>
  <si>
    <t>3120224093</t>
  </si>
  <si>
    <t>Siu Yang</t>
  </si>
  <si>
    <t>Ly</t>
  </si>
  <si>
    <t>5-11-2006</t>
  </si>
  <si>
    <t>3120224100</t>
  </si>
  <si>
    <t>Ngô Nguyên</t>
  </si>
  <si>
    <t>6-12-2006</t>
  </si>
  <si>
    <t>3120224106</t>
  </si>
  <si>
    <t>Phan</t>
  </si>
  <si>
    <t>Nhuận</t>
  </si>
  <si>
    <t>14-5-2006</t>
  </si>
  <si>
    <t>3120224110</t>
  </si>
  <si>
    <t>Phạm Hồng</t>
  </si>
  <si>
    <t>Phong</t>
  </si>
  <si>
    <t>16-4-2006</t>
  </si>
  <si>
    <t>3120224184</t>
  </si>
  <si>
    <t>Xayyatiew</t>
  </si>
  <si>
    <t>Phoutsana</t>
  </si>
  <si>
    <t>26-10-2005</t>
  </si>
  <si>
    <t>3120224123</t>
  </si>
  <si>
    <t>Dương Quang</t>
  </si>
  <si>
    <t>Sơn</t>
  </si>
  <si>
    <t>17-8-2006</t>
  </si>
  <si>
    <t>3120224126</t>
  </si>
  <si>
    <t>Nguyễn Hữu</t>
  </si>
  <si>
    <t>Tài</t>
  </si>
  <si>
    <t>5-3-2006</t>
  </si>
  <si>
    <t>3120224138</t>
  </si>
  <si>
    <t>Trương Gia</t>
  </si>
  <si>
    <t>Thịnh</t>
  </si>
  <si>
    <t>29-4-2006</t>
  </si>
  <si>
    <t>3120224142</t>
  </si>
  <si>
    <t>Nguyễn Thị Cẩm</t>
  </si>
  <si>
    <t>Tiên</t>
  </si>
  <si>
    <t>8-2-2006</t>
  </si>
  <si>
    <t>3120224146</t>
  </si>
  <si>
    <t>Lê Xuân Quốc</t>
  </si>
  <si>
    <t>Tịnh</t>
  </si>
  <si>
    <t>9-7-2006</t>
  </si>
  <si>
    <t>3120224170</t>
  </si>
  <si>
    <t>Tuân</t>
  </si>
  <si>
    <t>23-2-2006</t>
  </si>
  <si>
    <t>3120224006</t>
  </si>
  <si>
    <t>Nguyễn Thanh Minh</t>
  </si>
  <si>
    <t>Bằng</t>
  </si>
  <si>
    <t>28-7-2006</t>
  </si>
  <si>
    <t>24CNTT1</t>
  </si>
  <si>
    <t>3120224010</t>
  </si>
  <si>
    <t>Nguyễn Hồng Gia</t>
  </si>
  <si>
    <t>20-7-2006</t>
  </si>
  <si>
    <t>3120224031</t>
  </si>
  <si>
    <t>Lý Thị</t>
  </si>
  <si>
    <t>Dung</t>
  </si>
  <si>
    <t>4-6-2006</t>
  </si>
  <si>
    <t>3120224042</t>
  </si>
  <si>
    <t>Lê Dương Hoàng</t>
  </si>
  <si>
    <t>Hải</t>
  </si>
  <si>
    <t>31-3-2006</t>
  </si>
  <si>
    <t>3120224045</t>
  </si>
  <si>
    <t>Phan Thị Bảo</t>
  </si>
  <si>
    <t>Hân</t>
  </si>
  <si>
    <t>22-5-2005</t>
  </si>
  <si>
    <t>3120224052</t>
  </si>
  <si>
    <t>Lê Trung</t>
  </si>
  <si>
    <t>29-9-2006</t>
  </si>
  <si>
    <t>3120224064</t>
  </si>
  <si>
    <t>Phan Văn</t>
  </si>
  <si>
    <t>Hợp</t>
  </si>
  <si>
    <t>3120224071</t>
  </si>
  <si>
    <t>Phan Thị Thanh</t>
  </si>
  <si>
    <t>Huyền</t>
  </si>
  <si>
    <t>25-10-2006</t>
  </si>
  <si>
    <t>3120224086</t>
  </si>
  <si>
    <t>Nguyễn Võ Khánh</t>
  </si>
  <si>
    <t>20-12-2006</t>
  </si>
  <si>
    <t>3120224092</t>
  </si>
  <si>
    <t>Thới Đình Thị Thanh</t>
  </si>
  <si>
    <t>Lũy</t>
  </si>
  <si>
    <t>15-1-2006</t>
  </si>
  <si>
    <t>3120224094</t>
  </si>
  <si>
    <t>Lê Văn</t>
  </si>
  <si>
    <t>Mạnh</t>
  </si>
  <si>
    <t>3120224112</t>
  </si>
  <si>
    <t>Đồng Ngọc</t>
  </si>
  <si>
    <t>Phúc</t>
  </si>
  <si>
    <t>6-11-2006</t>
  </si>
  <si>
    <t>3120224122</t>
  </si>
  <si>
    <t>Trần Xuân</t>
  </si>
  <si>
    <t>Sang</t>
  </si>
  <si>
    <t>11-8-2006</t>
  </si>
  <si>
    <t>3120224128</t>
  </si>
  <si>
    <t>Nguyễn Trần Thu</t>
  </si>
  <si>
    <t>Thắm</t>
  </si>
  <si>
    <t>27-3-2006</t>
  </si>
  <si>
    <t>3120224132</t>
  </si>
  <si>
    <t>Nguyễn Tuấn Nhật</t>
  </si>
  <si>
    <t>Thanh</t>
  </si>
  <si>
    <t>6-9-2006</t>
  </si>
  <si>
    <t>3120224149</t>
  </si>
  <si>
    <t>Đoàn Thùy Thảo</t>
  </si>
  <si>
    <t>Trâm</t>
  </si>
  <si>
    <t>26-8-2006</t>
  </si>
  <si>
    <t>3120224169</t>
  </si>
  <si>
    <t>Trần Văn</t>
  </si>
  <si>
    <t>Tú</t>
  </si>
  <si>
    <t>3120223237</t>
  </si>
  <si>
    <t>Nguyễn Hoàng</t>
  </si>
  <si>
    <t>Việt</t>
  </si>
  <si>
    <t>17-06-2005</t>
  </si>
  <si>
    <t>23CNTT3</t>
  </si>
  <si>
    <t>3120223198</t>
  </si>
  <si>
    <t>Lê Hữu</t>
  </si>
  <si>
    <t>Tiến</t>
  </si>
  <si>
    <t>14-11-2005</t>
  </si>
  <si>
    <t>23CNTT2</t>
  </si>
  <si>
    <t>3120223026</t>
  </si>
  <si>
    <t>Đỗ Thành</t>
  </si>
  <si>
    <t>Danh</t>
  </si>
  <si>
    <t>26-02-2005</t>
  </si>
  <si>
    <t>23CNTT1</t>
  </si>
  <si>
    <t>3120223235</t>
  </si>
  <si>
    <t>Trương Công Hào</t>
  </si>
  <si>
    <t>Vấn</t>
  </si>
  <si>
    <t>04-06-2005</t>
  </si>
  <si>
    <t>3120124001</t>
  </si>
  <si>
    <t>Thái Nguyên</t>
  </si>
  <si>
    <t>An</t>
  </si>
  <si>
    <t>26-6-2006</t>
  </si>
  <si>
    <t>24SPT</t>
  </si>
  <si>
    <t>3120123017</t>
  </si>
  <si>
    <t>Nguyễn Thị Mỹ</t>
  </si>
  <si>
    <t>Lan</t>
  </si>
  <si>
    <t>26-11-2005</t>
  </si>
  <si>
    <t>23SPT</t>
  </si>
  <si>
    <t>3120224058</t>
  </si>
  <si>
    <t>Nguyễn Nhật</t>
  </si>
  <si>
    <t>Hoài</t>
  </si>
  <si>
    <t>28-10-2006</t>
  </si>
  <si>
    <t>t2</t>
  </si>
  <si>
    <t>3120224105</t>
  </si>
  <si>
    <t>Lê Nguyễn Gia</t>
  </si>
  <si>
    <t>Nhân</t>
  </si>
  <si>
    <t>28-10-2005</t>
  </si>
  <si>
    <t>3120224115</t>
  </si>
  <si>
    <t>Hồ Sĩ</t>
  </si>
  <si>
    <t>Quân</t>
  </si>
  <si>
    <t>15-5-2006</t>
  </si>
  <si>
    <t>3120224083</t>
  </si>
  <si>
    <t>Đặng Công Hoài</t>
  </si>
  <si>
    <t>28-1-2006</t>
  </si>
  <si>
    <t>t5-101112</t>
  </si>
  <si>
    <t>3120224080</t>
  </si>
  <si>
    <t>Nguyễn Ngọc Song</t>
  </si>
  <si>
    <t>Khuyên</t>
  </si>
  <si>
    <t>19-8-2006</t>
  </si>
  <si>
    <t>3120224098</t>
  </si>
  <si>
    <t>Trần Thị Bảo</t>
  </si>
  <si>
    <t>Ngân</t>
  </si>
  <si>
    <t>30-10-2006</t>
  </si>
  <si>
    <t>3120224032</t>
  </si>
  <si>
    <t>Nguyễn Phạm Tiến</t>
  </si>
  <si>
    <t>Dũng</t>
  </si>
  <si>
    <t>28-8-2006</t>
  </si>
  <si>
    <t>3120224065</t>
  </si>
  <si>
    <t>Đinh Trịnh Ngọc</t>
  </si>
  <si>
    <t>Hưng</t>
  </si>
  <si>
    <t>12-12-2006</t>
  </si>
  <si>
    <t>3120224069</t>
  </si>
  <si>
    <t>Lê Công</t>
  </si>
  <si>
    <t>Huy</t>
  </si>
  <si>
    <t>21-5-2006</t>
  </si>
  <si>
    <t>3120224116</t>
  </si>
  <si>
    <t>Lê Minh</t>
  </si>
  <si>
    <t>29-3-2006</t>
  </si>
  <si>
    <t>3120224153</t>
  </si>
  <si>
    <t>Nguyễn Thị Kiều</t>
  </si>
  <si>
    <t>Trang</t>
  </si>
  <si>
    <t>28-11-2006</t>
  </si>
  <si>
    <t>3120224096</t>
  </si>
  <si>
    <t>Lê Thị A</t>
  </si>
  <si>
    <t>Na</t>
  </si>
  <si>
    <t>5-7-2006</t>
  </si>
  <si>
    <t>3120224177</t>
  </si>
  <si>
    <t>Hồ Dương Thanh</t>
  </si>
  <si>
    <t>25-9-2006</t>
  </si>
  <si>
    <t>Danh sách này có: 54 sinh viên đăng ký học</t>
  </si>
  <si>
    <t>Đà Nẵng, Ngày       tháng        năm 20....</t>
  </si>
  <si>
    <t>Cán bộ giảng dạy</t>
  </si>
  <si>
    <t>(Ký và ghi rõ họ tên)</t>
  </si>
  <si>
    <t>Group</t>
  </si>
  <si>
    <t>Quantity</t>
  </si>
  <si>
    <t>GroupID</t>
  </si>
  <si>
    <t>ProjectID</t>
  </si>
  <si>
    <t>Project Code</t>
  </si>
  <si>
    <t>Project Name</t>
  </si>
  <si>
    <t>No.</t>
  </si>
  <si>
    <t>Modules</t>
  </si>
  <si>
    <t>Project  1:</t>
  </si>
  <si>
    <t>Book shop</t>
  </si>
  <si>
    <t>BS1</t>
  </si>
  <si>
    <t>Phân quyền</t>
  </si>
  <si>
    <t>Module Code</t>
  </si>
  <si>
    <t>Module Name</t>
  </si>
  <si>
    <t>Gợi ý</t>
  </si>
  <si>
    <t>BS2</t>
  </si>
  <si>
    <t>Quản lí</t>
  </si>
  <si>
    <t>Admin, Manager, Staff, Customer</t>
  </si>
  <si>
    <t>BS3</t>
  </si>
  <si>
    <t>Đặt hàng</t>
  </si>
  <si>
    <t>Book</t>
  </si>
  <si>
    <t>BS4</t>
  </si>
  <si>
    <t>Thanh toán</t>
  </si>
  <si>
    <t>New, Accepted</t>
  </si>
  <si>
    <t>BS5</t>
  </si>
  <si>
    <t>Tìm kiếm</t>
  </si>
  <si>
    <t>Paid</t>
  </si>
  <si>
    <t>BS6</t>
  </si>
  <si>
    <t>Giao hàng</t>
  </si>
  <si>
    <t>BS7</t>
  </si>
  <si>
    <t>Chăm sóc KH (Liên hệ)</t>
  </si>
  <si>
    <t>On-going, Delivered, Completed</t>
  </si>
  <si>
    <t>VR1</t>
  </si>
  <si>
    <t>VR2</t>
  </si>
  <si>
    <t>VR3</t>
  </si>
  <si>
    <t>Project 2:</t>
  </si>
  <si>
    <t>Vehicle rental</t>
  </si>
  <si>
    <t>VR4</t>
  </si>
  <si>
    <t>VR5</t>
  </si>
  <si>
    <t>VR6</t>
  </si>
  <si>
    <t>Car, Motocycle, Cycle</t>
  </si>
  <si>
    <t>VR7</t>
  </si>
  <si>
    <t>Quy ước đặt tên sản phẩm giữa kỳ</t>
  </si>
  <si>
    <t>[GoupID]_[Project Code]_[Product Name]</t>
  </si>
  <si>
    <t>Ví dụ:</t>
  </si>
  <si>
    <t>06_BS1_requirement &amp; design.docx</t>
  </si>
  <si>
    <t>Nhóm &amp; % đóng góp</t>
  </si>
  <si>
    <t>Yêu cầu: User Story</t>
  </si>
  <si>
    <t>Thiết kế: Sơ đồ CSDL quan hệ + DB 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</si>
</sst>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b/>
      <sz val="8"/>
      <color theme="1"/>
      <name val="Times New Roman"/>
      <family val="1"/>
    </font>
    <font>
      <i/>
      <sz val="7"/>
      <color theme="1"/>
      <name val="Times New Roman"/>
      <family val="1"/>
    </font>
    <font>
      <sz val="8"/>
      <name val="Calibri"/>
      <family val="2"/>
      <scheme val="minor"/>
    </font>
    <font>
      <sz val="7"/>
      <color rgb="FF00B0F0"/>
      <name val="Times New Roman"/>
      <family val="1"/>
    </font>
    <font>
      <sz val="14"/>
      <color theme="1"/>
      <name val="Calibri"/>
      <family val="2"/>
      <scheme val="minor"/>
    </font>
    <font>
      <b/>
      <sz val="7"/>
      <color rgb="FFFF0000"/>
      <name val="Times New Roman"/>
      <family val="1"/>
    </font>
    <font>
      <sz val="7"/>
      <color rgb="FFFF0000"/>
      <name val="Times New Roman"/>
      <family val="1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7" fillId="0" borderId="0"/>
  </cellStyleXfs>
  <cellXfs count="55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wrapText="1"/>
    </xf>
    <xf numFmtId="49" fontId="18" fillId="0" borderId="10" xfId="0" applyNumberFormat="1" applyFont="1" applyBorder="1" applyAlignment="1">
      <alignment horizontal="left"/>
    </xf>
    <xf numFmtId="0" fontId="18" fillId="0" borderId="10" xfId="0" applyFont="1" applyBorder="1" applyAlignment="1">
      <alignment horizontal="left" wrapText="1"/>
    </xf>
    <xf numFmtId="49" fontId="18" fillId="0" borderId="10" xfId="0" applyNumberFormat="1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19" fillId="0" borderId="0" xfId="0" applyFont="1" applyAlignment="1">
      <alignment horizontal="left" wrapText="1"/>
    </xf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9" fillId="0" borderId="0" xfId="0" applyFont="1" applyAlignment="1">
      <alignment horizontal="center" wrapText="1"/>
    </xf>
    <xf numFmtId="49" fontId="18" fillId="0" borderId="0" xfId="0" applyNumberFormat="1" applyFont="1" applyAlignment="1">
      <alignment horizontal="left"/>
    </xf>
    <xf numFmtId="49" fontId="18" fillId="0" borderId="0" xfId="0" applyNumberFormat="1" applyFont="1" applyAlignment="1">
      <alignment horizontal="center" wrapText="1"/>
    </xf>
    <xf numFmtId="0" fontId="18" fillId="0" borderId="0" xfId="0" applyFont="1" applyAlignment="1">
      <alignment horizontal="center" wrapText="1"/>
    </xf>
    <xf numFmtId="49" fontId="18" fillId="0" borderId="14" xfId="0" applyNumberFormat="1" applyFont="1" applyBorder="1" applyAlignment="1">
      <alignment horizontal="left"/>
    </xf>
    <xf numFmtId="0" fontId="18" fillId="0" borderId="14" xfId="0" applyFont="1" applyBorder="1" applyAlignment="1">
      <alignment horizontal="left" wrapText="1"/>
    </xf>
    <xf numFmtId="49" fontId="18" fillId="0" borderId="14" xfId="0" applyNumberFormat="1" applyFont="1" applyBorder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0" fontId="16" fillId="0" borderId="0" xfId="0" applyFont="1"/>
    <xf numFmtId="0" fontId="18" fillId="0" borderId="15" xfId="0" applyFont="1" applyBorder="1" applyAlignment="1">
      <alignment horizontal="left" wrapText="1"/>
    </xf>
    <xf numFmtId="49" fontId="23" fillId="0" borderId="13" xfId="0" applyNumberFormat="1" applyFont="1" applyBorder="1" applyAlignment="1">
      <alignment horizontal="left"/>
    </xf>
    <xf numFmtId="0" fontId="23" fillId="0" borderId="13" xfId="0" applyFont="1" applyBorder="1" applyAlignment="1">
      <alignment horizontal="left" wrapText="1"/>
    </xf>
    <xf numFmtId="49" fontId="23" fillId="0" borderId="13" xfId="0" applyNumberFormat="1" applyFont="1" applyBorder="1" applyAlignment="1">
      <alignment horizontal="center" wrapText="1"/>
    </xf>
    <xf numFmtId="0" fontId="23" fillId="0" borderId="13" xfId="0" applyFont="1" applyBorder="1" applyAlignment="1">
      <alignment horizontal="center" wrapText="1"/>
    </xf>
    <xf numFmtId="49" fontId="23" fillId="0" borderId="16" xfId="0" applyNumberFormat="1" applyFont="1" applyBorder="1" applyAlignment="1">
      <alignment horizontal="left"/>
    </xf>
    <xf numFmtId="0" fontId="23" fillId="0" borderId="16" xfId="0" applyFont="1" applyBorder="1" applyAlignment="1">
      <alignment horizontal="left" wrapText="1"/>
    </xf>
    <xf numFmtId="49" fontId="23" fillId="0" borderId="16" xfId="0" applyNumberFormat="1" applyFont="1" applyBorder="1" applyAlignment="1">
      <alignment horizontal="center" wrapText="1"/>
    </xf>
    <xf numFmtId="0" fontId="23" fillId="0" borderId="16" xfId="0" applyFont="1" applyBorder="1" applyAlignment="1">
      <alignment horizontal="center" wrapText="1"/>
    </xf>
    <xf numFmtId="0" fontId="24" fillId="0" borderId="13" xfId="0" applyFont="1" applyBorder="1"/>
    <xf numFmtId="0" fontId="24" fillId="0" borderId="0" xfId="0" applyFont="1"/>
    <xf numFmtId="0" fontId="25" fillId="0" borderId="10" xfId="0" applyFont="1" applyBorder="1" applyAlignment="1">
      <alignment horizontal="center" wrapText="1"/>
    </xf>
    <xf numFmtId="49" fontId="26" fillId="0" borderId="10" xfId="0" applyNumberFormat="1" applyFont="1" applyBorder="1" applyAlignment="1">
      <alignment horizontal="left"/>
    </xf>
    <xf numFmtId="0" fontId="26" fillId="0" borderId="10" xfId="0" applyFont="1" applyBorder="1" applyAlignment="1">
      <alignment horizontal="left" wrapText="1"/>
    </xf>
    <xf numFmtId="49" fontId="26" fillId="0" borderId="10" xfId="0" applyNumberFormat="1" applyFont="1" applyBorder="1" applyAlignment="1">
      <alignment horizontal="center" wrapText="1"/>
    </xf>
    <xf numFmtId="0" fontId="26" fillId="0" borderId="10" xfId="0" applyFont="1" applyBorder="1" applyAlignment="1">
      <alignment horizontal="center" wrapText="1"/>
    </xf>
    <xf numFmtId="0" fontId="14" fillId="0" borderId="0" xfId="0" applyFont="1"/>
    <xf numFmtId="49" fontId="26" fillId="0" borderId="13" xfId="0" applyNumberFormat="1" applyFont="1" applyBorder="1" applyAlignment="1">
      <alignment horizontal="left"/>
    </xf>
    <xf numFmtId="0" fontId="26" fillId="0" borderId="13" xfId="0" applyFont="1" applyBorder="1" applyAlignment="1">
      <alignment horizontal="left" wrapText="1"/>
    </xf>
    <xf numFmtId="49" fontId="26" fillId="0" borderId="13" xfId="0" applyNumberFormat="1" applyFont="1" applyBorder="1" applyAlignment="1">
      <alignment horizontal="center" wrapText="1"/>
    </xf>
    <xf numFmtId="0" fontId="26" fillId="0" borderId="13" xfId="0" applyFont="1" applyBorder="1" applyAlignment="1">
      <alignment horizontal="center" wrapText="1"/>
    </xf>
    <xf numFmtId="0" fontId="19" fillId="0" borderId="17" xfId="0" applyFont="1" applyBorder="1" applyAlignment="1">
      <alignment horizontal="center" vertical="center" wrapText="1"/>
    </xf>
    <xf numFmtId="0" fontId="27" fillId="0" borderId="0" xfId="42"/>
    <xf numFmtId="0" fontId="0" fillId="0" borderId="0" xfId="42" applyFont="1"/>
    <xf numFmtId="0" fontId="28" fillId="0" borderId="13" xfId="0" applyFont="1" applyBorder="1"/>
    <xf numFmtId="0" fontId="28" fillId="0" borderId="0" xfId="0" applyFont="1"/>
    <xf numFmtId="0" fontId="29" fillId="0" borderId="0" xfId="42" applyFont="1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left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Normal 2" xfId="42" xr:uid="{AB5B110C-488C-45C1-A8DF-FB2A10A020B9}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BAB23-6E85-4EEB-8075-ED3A351DD277}">
  <sheetPr codeName="Sheet1"/>
  <dimension ref="A1:I82"/>
  <sheetViews>
    <sheetView showGridLines="0" zoomScaleNormal="100" workbookViewId="0">
      <selection activeCell="I8" sqref="I8"/>
    </sheetView>
  </sheetViews>
  <sheetFormatPr defaultRowHeight="14.45"/>
  <cols>
    <col min="1" max="1" width="2.85546875" bestFit="1" customWidth="1"/>
    <col min="2" max="2" width="23.7109375" bestFit="1" customWidth="1"/>
    <col min="3" max="3" width="11.5703125" bestFit="1" customWidth="1"/>
    <col min="4" max="4" width="5.85546875" bestFit="1" customWidth="1"/>
    <col min="5" max="5" width="6.5703125" bestFit="1" customWidth="1"/>
    <col min="6" max="6" width="22.42578125" bestFit="1" customWidth="1"/>
    <col min="7" max="7" width="5" bestFit="1" customWidth="1"/>
  </cols>
  <sheetData>
    <row r="1" spans="1:9">
      <c r="A1" s="49" t="s">
        <v>0</v>
      </c>
      <c r="B1" s="49"/>
      <c r="C1" s="50" t="s">
        <v>1</v>
      </c>
      <c r="D1" s="50"/>
      <c r="E1" s="50"/>
      <c r="F1" s="50"/>
      <c r="G1" s="50"/>
      <c r="H1" s="50"/>
      <c r="I1" s="50"/>
    </row>
    <row r="2" spans="1:9">
      <c r="A2" s="50" t="s">
        <v>2</v>
      </c>
      <c r="B2" s="50"/>
      <c r="C2" s="50" t="s">
        <v>3</v>
      </c>
      <c r="D2" s="50"/>
      <c r="E2" s="50"/>
      <c r="F2" s="50"/>
      <c r="G2" s="50"/>
      <c r="H2" s="50"/>
      <c r="I2" s="50"/>
    </row>
    <row r="3" spans="1:9" ht="17.45" customHeight="1">
      <c r="A3" s="51" t="s">
        <v>4</v>
      </c>
      <c r="B3" s="51"/>
      <c r="C3" s="51"/>
      <c r="D3" s="51"/>
      <c r="E3" s="51"/>
      <c r="F3" s="51"/>
      <c r="G3" s="51"/>
    </row>
    <row r="4" spans="1:9">
      <c r="A4" s="48" t="s">
        <v>5</v>
      </c>
      <c r="B4" s="48"/>
      <c r="C4" s="48"/>
      <c r="D4" s="48"/>
      <c r="E4" s="48"/>
      <c r="F4" s="48"/>
      <c r="G4" s="48"/>
    </row>
    <row r="5" spans="1:9">
      <c r="A5" s="52" t="s">
        <v>6</v>
      </c>
      <c r="B5" s="52"/>
      <c r="C5" s="52"/>
      <c r="D5" s="52"/>
      <c r="E5" s="52" t="s">
        <v>7</v>
      </c>
      <c r="F5" s="52"/>
      <c r="G5" s="52"/>
    </row>
    <row r="6" spans="1:9">
      <c r="A6" s="52" t="s">
        <v>8</v>
      </c>
      <c r="B6" s="52"/>
      <c r="C6" s="52"/>
      <c r="D6" s="52"/>
      <c r="E6" s="52" t="s">
        <v>9</v>
      </c>
      <c r="F6" s="52"/>
      <c r="G6" s="52"/>
    </row>
    <row r="7" spans="1:9">
      <c r="A7" s="1" t="s">
        <v>10</v>
      </c>
      <c r="B7" s="1" t="s">
        <v>11</v>
      </c>
      <c r="C7" s="53" t="s">
        <v>12</v>
      </c>
      <c r="D7" s="54"/>
      <c r="E7" s="1" t="s">
        <v>13</v>
      </c>
      <c r="F7" s="1" t="s">
        <v>14</v>
      </c>
      <c r="G7" s="1" t="s">
        <v>15</v>
      </c>
      <c r="H7" s="42" t="s">
        <v>16</v>
      </c>
    </row>
    <row r="8" spans="1:9">
      <c r="A8" s="2">
        <v>1</v>
      </c>
      <c r="B8" s="3" t="s">
        <v>17</v>
      </c>
      <c r="C8" s="4" t="s">
        <v>18</v>
      </c>
      <c r="D8" s="4" t="s">
        <v>19</v>
      </c>
      <c r="E8" s="5" t="s">
        <v>20</v>
      </c>
      <c r="F8" s="6" t="s">
        <v>21</v>
      </c>
      <c r="G8" s="4">
        <v>6</v>
      </c>
    </row>
    <row r="9" spans="1:9" ht="19.5">
      <c r="A9" s="2">
        <v>2</v>
      </c>
      <c r="B9" s="3" t="s">
        <v>22</v>
      </c>
      <c r="C9" s="4" t="s">
        <v>23</v>
      </c>
      <c r="D9" s="4" t="s">
        <v>24</v>
      </c>
      <c r="E9" s="5" t="s">
        <v>25</v>
      </c>
      <c r="F9" s="6" t="s">
        <v>21</v>
      </c>
      <c r="G9" s="4">
        <v>5</v>
      </c>
    </row>
    <row r="10" spans="1:9">
      <c r="A10" s="2">
        <v>3</v>
      </c>
      <c r="B10" s="3" t="s">
        <v>26</v>
      </c>
      <c r="C10" s="4" t="s">
        <v>27</v>
      </c>
      <c r="D10" s="4" t="s">
        <v>28</v>
      </c>
      <c r="E10" s="5" t="s">
        <v>29</v>
      </c>
      <c r="F10" s="6" t="s">
        <v>21</v>
      </c>
      <c r="G10" s="4">
        <v>6</v>
      </c>
    </row>
    <row r="11" spans="1:9" s="37" customFormat="1">
      <c r="A11" s="32">
        <v>4</v>
      </c>
      <c r="B11" s="33" t="s">
        <v>30</v>
      </c>
      <c r="C11" s="34" t="s">
        <v>31</v>
      </c>
      <c r="D11" s="34" t="s">
        <v>32</v>
      </c>
      <c r="E11" s="35" t="s">
        <v>33</v>
      </c>
      <c r="F11" s="36" t="s">
        <v>21</v>
      </c>
      <c r="G11" s="34">
        <v>6</v>
      </c>
    </row>
    <row r="12" spans="1:9">
      <c r="A12" s="2">
        <v>5</v>
      </c>
      <c r="B12" s="3" t="s">
        <v>34</v>
      </c>
      <c r="C12" s="4" t="s">
        <v>27</v>
      </c>
      <c r="D12" s="4" t="s">
        <v>35</v>
      </c>
      <c r="E12" s="5" t="s">
        <v>36</v>
      </c>
      <c r="F12" s="6" t="s">
        <v>21</v>
      </c>
      <c r="G12" s="4">
        <v>6</v>
      </c>
    </row>
    <row r="13" spans="1:9" s="37" customFormat="1" ht="19.5">
      <c r="A13" s="32">
        <v>6</v>
      </c>
      <c r="B13" s="33" t="s">
        <v>37</v>
      </c>
      <c r="C13" s="34" t="s">
        <v>38</v>
      </c>
      <c r="D13" s="34" t="s">
        <v>35</v>
      </c>
      <c r="E13" s="35" t="s">
        <v>39</v>
      </c>
      <c r="F13" s="36" t="s">
        <v>21</v>
      </c>
      <c r="G13" s="34">
        <v>8</v>
      </c>
    </row>
    <row r="14" spans="1:9">
      <c r="A14" s="2">
        <v>7</v>
      </c>
      <c r="B14" s="3" t="s">
        <v>40</v>
      </c>
      <c r="C14" s="4" t="s">
        <v>41</v>
      </c>
      <c r="D14" s="4" t="s">
        <v>42</v>
      </c>
      <c r="E14" s="5" t="s">
        <v>43</v>
      </c>
      <c r="F14" s="6" t="s">
        <v>21</v>
      </c>
      <c r="G14" s="4">
        <v>8</v>
      </c>
    </row>
    <row r="15" spans="1:9">
      <c r="A15" s="2">
        <v>8</v>
      </c>
      <c r="B15" s="3" t="s">
        <v>44</v>
      </c>
      <c r="C15" s="4" t="s">
        <v>45</v>
      </c>
      <c r="D15" s="4" t="s">
        <v>46</v>
      </c>
      <c r="E15" s="5" t="s">
        <v>47</v>
      </c>
      <c r="F15" s="6" t="s">
        <v>21</v>
      </c>
      <c r="G15" s="4">
        <v>12</v>
      </c>
    </row>
    <row r="16" spans="1:9">
      <c r="A16" s="2">
        <v>9</v>
      </c>
      <c r="B16" s="3" t="s">
        <v>48</v>
      </c>
      <c r="C16" s="4" t="s">
        <v>49</v>
      </c>
      <c r="D16" s="4" t="s">
        <v>50</v>
      </c>
      <c r="E16" s="5" t="s">
        <v>51</v>
      </c>
      <c r="F16" s="6" t="s">
        <v>21</v>
      </c>
      <c r="G16" s="4">
        <v>10</v>
      </c>
    </row>
    <row r="17" spans="1:7">
      <c r="A17" s="2">
        <v>10</v>
      </c>
      <c r="B17" s="3" t="s">
        <v>52</v>
      </c>
      <c r="C17" s="4" t="s">
        <v>53</v>
      </c>
      <c r="D17" s="4" t="s">
        <v>54</v>
      </c>
      <c r="E17" s="5" t="s">
        <v>55</v>
      </c>
      <c r="F17" s="6" t="s">
        <v>21</v>
      </c>
      <c r="G17" s="4">
        <v>12</v>
      </c>
    </row>
    <row r="18" spans="1:7">
      <c r="A18" s="2">
        <v>11</v>
      </c>
      <c r="B18" s="3" t="s">
        <v>56</v>
      </c>
      <c r="C18" s="4" t="s">
        <v>57</v>
      </c>
      <c r="D18" s="4" t="s">
        <v>58</v>
      </c>
      <c r="E18" s="5" t="s">
        <v>59</v>
      </c>
      <c r="F18" s="6" t="s">
        <v>21</v>
      </c>
      <c r="G18" s="4">
        <v>6</v>
      </c>
    </row>
    <row r="19" spans="1:7">
      <c r="A19" s="2">
        <v>12</v>
      </c>
      <c r="B19" s="3" t="s">
        <v>60</v>
      </c>
      <c r="C19" s="4" t="s">
        <v>61</v>
      </c>
      <c r="D19" s="4" t="s">
        <v>62</v>
      </c>
      <c r="E19" s="5" t="s">
        <v>63</v>
      </c>
      <c r="F19" s="6" t="s">
        <v>64</v>
      </c>
      <c r="G19" s="4">
        <v>3</v>
      </c>
    </row>
    <row r="20" spans="1:7">
      <c r="A20" s="2">
        <v>13</v>
      </c>
      <c r="B20" s="3" t="s">
        <v>65</v>
      </c>
      <c r="C20" s="4" t="s">
        <v>66</v>
      </c>
      <c r="D20" s="4" t="s">
        <v>62</v>
      </c>
      <c r="E20" s="5" t="s">
        <v>67</v>
      </c>
      <c r="F20" s="6" t="s">
        <v>64</v>
      </c>
      <c r="G20" s="4">
        <v>1</v>
      </c>
    </row>
    <row r="21" spans="1:7">
      <c r="A21" s="2">
        <v>14</v>
      </c>
      <c r="B21" s="3" t="s">
        <v>68</v>
      </c>
      <c r="C21" s="4" t="s">
        <v>69</v>
      </c>
      <c r="D21" s="4" t="s">
        <v>70</v>
      </c>
      <c r="E21" s="5" t="s">
        <v>71</v>
      </c>
      <c r="F21" s="6" t="s">
        <v>64</v>
      </c>
      <c r="G21" s="4">
        <v>10</v>
      </c>
    </row>
    <row r="22" spans="1:7">
      <c r="A22" s="2">
        <v>15</v>
      </c>
      <c r="B22" s="3" t="s">
        <v>72</v>
      </c>
      <c r="C22" s="4" t="s">
        <v>73</v>
      </c>
      <c r="D22" s="4" t="s">
        <v>74</v>
      </c>
      <c r="E22" s="5" t="s">
        <v>75</v>
      </c>
      <c r="F22" s="6" t="s">
        <v>64</v>
      </c>
      <c r="G22" s="4">
        <v>1</v>
      </c>
    </row>
    <row r="23" spans="1:7" s="37" customFormat="1">
      <c r="A23" s="32">
        <v>16</v>
      </c>
      <c r="B23" s="33" t="s">
        <v>76</v>
      </c>
      <c r="C23" s="34" t="s">
        <v>77</v>
      </c>
      <c r="D23" s="34" t="s">
        <v>74</v>
      </c>
      <c r="E23" s="35" t="s">
        <v>78</v>
      </c>
      <c r="F23" s="36" t="s">
        <v>64</v>
      </c>
      <c r="G23" s="34">
        <v>11</v>
      </c>
    </row>
    <row r="24" spans="1:7">
      <c r="A24" s="2">
        <v>17</v>
      </c>
      <c r="B24" s="3" t="s">
        <v>79</v>
      </c>
      <c r="C24" s="4" t="s">
        <v>80</v>
      </c>
      <c r="D24" s="4" t="s">
        <v>81</v>
      </c>
      <c r="E24" s="5" t="s">
        <v>82</v>
      </c>
      <c r="F24" s="6" t="s">
        <v>64</v>
      </c>
      <c r="G24" s="4">
        <v>10</v>
      </c>
    </row>
    <row r="25" spans="1:7">
      <c r="A25" s="2">
        <v>18</v>
      </c>
      <c r="B25" s="3" t="s">
        <v>83</v>
      </c>
      <c r="C25" s="4" t="s">
        <v>84</v>
      </c>
      <c r="D25" s="4" t="s">
        <v>85</v>
      </c>
      <c r="E25" s="5" t="s">
        <v>86</v>
      </c>
      <c r="F25" s="6" t="s">
        <v>64</v>
      </c>
      <c r="G25" s="4">
        <v>3</v>
      </c>
    </row>
    <row r="26" spans="1:7">
      <c r="A26" s="2">
        <v>19</v>
      </c>
      <c r="B26" s="3" t="s">
        <v>87</v>
      </c>
      <c r="C26" s="4" t="s">
        <v>88</v>
      </c>
      <c r="D26" s="4" t="s">
        <v>89</v>
      </c>
      <c r="E26" s="5" t="s">
        <v>90</v>
      </c>
      <c r="F26" s="6" t="s">
        <v>64</v>
      </c>
      <c r="G26" s="4">
        <v>11</v>
      </c>
    </row>
    <row r="27" spans="1:7" s="37" customFormat="1">
      <c r="A27" s="32">
        <v>20</v>
      </c>
      <c r="B27" s="33" t="s">
        <v>91</v>
      </c>
      <c r="C27" s="34" t="s">
        <v>92</v>
      </c>
      <c r="D27" s="34" t="s">
        <v>35</v>
      </c>
      <c r="E27" s="35" t="s">
        <v>93</v>
      </c>
      <c r="F27" s="36" t="s">
        <v>64</v>
      </c>
      <c r="G27" s="34">
        <v>5</v>
      </c>
    </row>
    <row r="28" spans="1:7">
      <c r="A28" s="2">
        <v>21</v>
      </c>
      <c r="B28" s="3" t="s">
        <v>94</v>
      </c>
      <c r="C28" s="4" t="s">
        <v>95</v>
      </c>
      <c r="D28" s="4" t="s">
        <v>96</v>
      </c>
      <c r="E28" s="5" t="s">
        <v>97</v>
      </c>
      <c r="F28" s="6" t="s">
        <v>64</v>
      </c>
      <c r="G28" s="4">
        <v>5</v>
      </c>
    </row>
    <row r="29" spans="1:7">
      <c r="A29" s="2">
        <v>22</v>
      </c>
      <c r="B29" s="3" t="s">
        <v>98</v>
      </c>
      <c r="C29" s="4" t="s">
        <v>99</v>
      </c>
      <c r="D29" s="4" t="s">
        <v>42</v>
      </c>
      <c r="E29" s="5" t="s">
        <v>100</v>
      </c>
      <c r="F29" s="6" t="s">
        <v>64</v>
      </c>
      <c r="G29" s="4">
        <v>5</v>
      </c>
    </row>
    <row r="30" spans="1:7">
      <c r="A30" s="2">
        <v>23</v>
      </c>
      <c r="B30" s="3" t="s">
        <v>101</v>
      </c>
      <c r="C30" s="4" t="s">
        <v>102</v>
      </c>
      <c r="D30" s="4" t="s">
        <v>103</v>
      </c>
      <c r="E30" s="5" t="s">
        <v>104</v>
      </c>
      <c r="F30" s="6" t="s">
        <v>64</v>
      </c>
      <c r="G30" s="4">
        <v>1</v>
      </c>
    </row>
    <row r="31" spans="1:7">
      <c r="A31" s="2">
        <v>24</v>
      </c>
      <c r="B31" s="3" t="s">
        <v>105</v>
      </c>
      <c r="C31" s="4" t="s">
        <v>106</v>
      </c>
      <c r="D31" s="4" t="s">
        <v>107</v>
      </c>
      <c r="E31" s="5" t="s">
        <v>108</v>
      </c>
      <c r="F31" s="6" t="s">
        <v>64</v>
      </c>
      <c r="G31" s="4">
        <v>3</v>
      </c>
    </row>
    <row r="32" spans="1:7" ht="19.5">
      <c r="A32" s="2">
        <v>25</v>
      </c>
      <c r="B32" s="3" t="s">
        <v>109</v>
      </c>
      <c r="C32" s="4" t="s">
        <v>110</v>
      </c>
      <c r="D32" s="4" t="s">
        <v>111</v>
      </c>
      <c r="E32" s="5" t="s">
        <v>112</v>
      </c>
      <c r="F32" s="6" t="s">
        <v>64</v>
      </c>
      <c r="G32" s="4">
        <v>10</v>
      </c>
    </row>
    <row r="33" spans="1:7">
      <c r="A33" s="2">
        <v>26</v>
      </c>
      <c r="B33" s="3" t="s">
        <v>113</v>
      </c>
      <c r="C33" s="4" t="s">
        <v>114</v>
      </c>
      <c r="D33" s="4" t="s">
        <v>115</v>
      </c>
      <c r="E33" s="5" t="s">
        <v>116</v>
      </c>
      <c r="F33" s="6" t="s">
        <v>64</v>
      </c>
      <c r="G33" s="4">
        <v>11</v>
      </c>
    </row>
    <row r="34" spans="1:7">
      <c r="A34" s="2">
        <v>27</v>
      </c>
      <c r="B34" s="3" t="s">
        <v>117</v>
      </c>
      <c r="C34" s="4" t="s">
        <v>118</v>
      </c>
      <c r="D34" s="4" t="s">
        <v>119</v>
      </c>
      <c r="E34" s="5" t="s">
        <v>120</v>
      </c>
      <c r="F34" s="6" t="s">
        <v>64</v>
      </c>
      <c r="G34" s="4">
        <v>3</v>
      </c>
    </row>
    <row r="35" spans="1:7">
      <c r="A35" s="2">
        <v>28</v>
      </c>
      <c r="B35" s="3" t="s">
        <v>121</v>
      </c>
      <c r="C35" s="4" t="s">
        <v>122</v>
      </c>
      <c r="D35" s="4" t="s">
        <v>123</v>
      </c>
      <c r="E35" s="5" t="s">
        <v>124</v>
      </c>
      <c r="F35" s="6" t="s">
        <v>64</v>
      </c>
      <c r="G35" s="4">
        <v>12</v>
      </c>
    </row>
    <row r="36" spans="1:7">
      <c r="A36" s="2">
        <v>29</v>
      </c>
      <c r="B36" s="3" t="s">
        <v>125</v>
      </c>
      <c r="C36" s="4" t="s">
        <v>126</v>
      </c>
      <c r="D36" s="4" t="s">
        <v>127</v>
      </c>
      <c r="E36" s="5" t="s">
        <v>128</v>
      </c>
      <c r="F36" s="6" t="s">
        <v>64</v>
      </c>
      <c r="G36" s="4">
        <v>5</v>
      </c>
    </row>
    <row r="37" spans="1:7">
      <c r="A37" s="2">
        <v>30</v>
      </c>
      <c r="B37" s="3" t="s">
        <v>129</v>
      </c>
      <c r="C37" s="4" t="s">
        <v>130</v>
      </c>
      <c r="D37" s="4" t="s">
        <v>131</v>
      </c>
      <c r="E37" s="5" t="s">
        <v>132</v>
      </c>
      <c r="F37" s="6" t="s">
        <v>64</v>
      </c>
      <c r="G37" s="4">
        <v>12</v>
      </c>
    </row>
    <row r="38" spans="1:7">
      <c r="A38" s="2">
        <v>31</v>
      </c>
      <c r="B38" s="3" t="s">
        <v>133</v>
      </c>
      <c r="C38" s="4" t="s">
        <v>118</v>
      </c>
      <c r="D38" s="4" t="s">
        <v>134</v>
      </c>
      <c r="E38" s="5" t="s">
        <v>135</v>
      </c>
      <c r="F38" s="6" t="s">
        <v>64</v>
      </c>
      <c r="G38" s="4">
        <v>11</v>
      </c>
    </row>
    <row r="39" spans="1:7" s="37" customFormat="1">
      <c r="A39" s="32">
        <v>32</v>
      </c>
      <c r="B39" s="33" t="s">
        <v>136</v>
      </c>
      <c r="C39" s="34" t="s">
        <v>137</v>
      </c>
      <c r="D39" s="34" t="s">
        <v>138</v>
      </c>
      <c r="E39" s="35" t="s">
        <v>139</v>
      </c>
      <c r="F39" s="36" t="s">
        <v>140</v>
      </c>
      <c r="G39" s="34">
        <v>1</v>
      </c>
    </row>
    <row r="40" spans="1:7">
      <c r="A40" s="2">
        <v>33</v>
      </c>
      <c r="B40" s="3" t="s">
        <v>141</v>
      </c>
      <c r="C40" s="4" t="s">
        <v>142</v>
      </c>
      <c r="D40" s="4" t="s">
        <v>62</v>
      </c>
      <c r="E40" s="5" t="s">
        <v>143</v>
      </c>
      <c r="F40" s="6" t="s">
        <v>140</v>
      </c>
      <c r="G40" s="4">
        <v>7</v>
      </c>
    </row>
    <row r="41" spans="1:7">
      <c r="A41" s="2">
        <v>34</v>
      </c>
      <c r="B41" s="3" t="s">
        <v>144</v>
      </c>
      <c r="C41" s="4" t="s">
        <v>145</v>
      </c>
      <c r="D41" s="4" t="s">
        <v>146</v>
      </c>
      <c r="E41" s="5" t="s">
        <v>147</v>
      </c>
      <c r="F41" s="6" t="s">
        <v>140</v>
      </c>
      <c r="G41" s="4">
        <v>7</v>
      </c>
    </row>
    <row r="42" spans="1:7">
      <c r="A42" s="2">
        <v>35</v>
      </c>
      <c r="B42" s="3" t="s">
        <v>148</v>
      </c>
      <c r="C42" s="4" t="s">
        <v>149</v>
      </c>
      <c r="D42" s="4" t="s">
        <v>150</v>
      </c>
      <c r="E42" s="5" t="s">
        <v>151</v>
      </c>
      <c r="F42" s="6" t="s">
        <v>140</v>
      </c>
      <c r="G42" s="4">
        <v>4</v>
      </c>
    </row>
    <row r="43" spans="1:7">
      <c r="A43" s="2">
        <v>36</v>
      </c>
      <c r="B43" s="3" t="s">
        <v>152</v>
      </c>
      <c r="C43" s="4" t="s">
        <v>153</v>
      </c>
      <c r="D43" s="4" t="s">
        <v>154</v>
      </c>
      <c r="E43" s="5" t="s">
        <v>155</v>
      </c>
      <c r="F43" s="6" t="s">
        <v>140</v>
      </c>
      <c r="G43" s="4">
        <v>7</v>
      </c>
    </row>
    <row r="44" spans="1:7">
      <c r="A44" s="2">
        <v>37</v>
      </c>
      <c r="B44" s="3" t="s">
        <v>156</v>
      </c>
      <c r="C44" s="4" t="s">
        <v>157</v>
      </c>
      <c r="D44" s="4" t="s">
        <v>85</v>
      </c>
      <c r="E44" s="5" t="s">
        <v>158</v>
      </c>
      <c r="F44" s="6" t="s">
        <v>140</v>
      </c>
      <c r="G44" s="4">
        <v>4</v>
      </c>
    </row>
    <row r="45" spans="1:7">
      <c r="A45" s="2">
        <v>38</v>
      </c>
      <c r="B45" s="3" t="s">
        <v>159</v>
      </c>
      <c r="C45" s="4" t="s">
        <v>160</v>
      </c>
      <c r="D45" s="4" t="s">
        <v>161</v>
      </c>
      <c r="E45" s="5" t="s">
        <v>47</v>
      </c>
      <c r="F45" s="6" t="s">
        <v>140</v>
      </c>
      <c r="G45" s="4">
        <v>4</v>
      </c>
    </row>
    <row r="46" spans="1:7" s="37" customFormat="1" ht="19.5">
      <c r="A46" s="32">
        <v>39</v>
      </c>
      <c r="B46" s="33" t="s">
        <v>162</v>
      </c>
      <c r="C46" s="34" t="s">
        <v>163</v>
      </c>
      <c r="D46" s="34" t="s">
        <v>164</v>
      </c>
      <c r="E46" s="35" t="s">
        <v>165</v>
      </c>
      <c r="F46" s="36" t="s">
        <v>140</v>
      </c>
      <c r="G46" s="34">
        <v>9</v>
      </c>
    </row>
    <row r="47" spans="1:7" ht="19.5">
      <c r="A47" s="2">
        <v>40</v>
      </c>
      <c r="B47" s="3" t="s">
        <v>166</v>
      </c>
      <c r="C47" s="4" t="s">
        <v>167</v>
      </c>
      <c r="D47" s="4" t="s">
        <v>35</v>
      </c>
      <c r="E47" s="5" t="s">
        <v>168</v>
      </c>
      <c r="F47" s="6" t="s">
        <v>140</v>
      </c>
      <c r="G47" s="4">
        <v>9</v>
      </c>
    </row>
    <row r="48" spans="1:7" ht="19.5">
      <c r="A48" s="2">
        <v>41</v>
      </c>
      <c r="B48" s="3" t="s">
        <v>169</v>
      </c>
      <c r="C48" s="4" t="s">
        <v>170</v>
      </c>
      <c r="D48" s="4" t="s">
        <v>171</v>
      </c>
      <c r="E48" s="5" t="s">
        <v>172</v>
      </c>
      <c r="F48" s="6" t="s">
        <v>140</v>
      </c>
      <c r="G48" s="4">
        <v>9</v>
      </c>
    </row>
    <row r="49" spans="1:8" s="37" customFormat="1">
      <c r="A49" s="32">
        <v>42</v>
      </c>
      <c r="B49" s="33" t="s">
        <v>173</v>
      </c>
      <c r="C49" s="34" t="s">
        <v>174</v>
      </c>
      <c r="D49" s="34" t="s">
        <v>175</v>
      </c>
      <c r="E49" s="35" t="s">
        <v>90</v>
      </c>
      <c r="F49" s="36" t="s">
        <v>140</v>
      </c>
      <c r="G49" s="34">
        <v>10</v>
      </c>
    </row>
    <row r="50" spans="1:8">
      <c r="A50" s="2">
        <v>43</v>
      </c>
      <c r="B50" s="3" t="s">
        <v>176</v>
      </c>
      <c r="C50" s="4" t="s">
        <v>177</v>
      </c>
      <c r="D50" s="4" t="s">
        <v>178</v>
      </c>
      <c r="E50" s="5" t="s">
        <v>179</v>
      </c>
      <c r="F50" s="6" t="s">
        <v>140</v>
      </c>
      <c r="G50" s="4">
        <v>9</v>
      </c>
    </row>
    <row r="51" spans="1:8">
      <c r="A51" s="2">
        <v>44</v>
      </c>
      <c r="B51" s="3" t="s">
        <v>180</v>
      </c>
      <c r="C51" s="4" t="s">
        <v>181</v>
      </c>
      <c r="D51" s="4" t="s">
        <v>182</v>
      </c>
      <c r="E51" s="5" t="s">
        <v>183</v>
      </c>
      <c r="F51" s="6" t="s">
        <v>140</v>
      </c>
      <c r="G51" s="4">
        <v>9</v>
      </c>
    </row>
    <row r="52" spans="1:8">
      <c r="A52" s="2">
        <v>45</v>
      </c>
      <c r="B52" s="3" t="s">
        <v>184</v>
      </c>
      <c r="C52" s="4" t="s">
        <v>185</v>
      </c>
      <c r="D52" s="4" t="s">
        <v>186</v>
      </c>
      <c r="E52" s="5" t="s">
        <v>187</v>
      </c>
      <c r="F52" s="6" t="s">
        <v>140</v>
      </c>
      <c r="G52" s="4">
        <v>2</v>
      </c>
    </row>
    <row r="53" spans="1:8" s="37" customFormat="1">
      <c r="A53" s="32">
        <v>46</v>
      </c>
      <c r="B53" s="33" t="s">
        <v>188</v>
      </c>
      <c r="C53" s="34" t="s">
        <v>189</v>
      </c>
      <c r="D53" s="34" t="s">
        <v>190</v>
      </c>
      <c r="E53" s="35" t="s">
        <v>191</v>
      </c>
      <c r="F53" s="36" t="s">
        <v>140</v>
      </c>
      <c r="G53" s="34">
        <v>14</v>
      </c>
    </row>
    <row r="54" spans="1:8">
      <c r="A54" s="2">
        <v>47</v>
      </c>
      <c r="B54" s="3" t="s">
        <v>192</v>
      </c>
      <c r="C54" s="4" t="s">
        <v>193</v>
      </c>
      <c r="D54" s="4" t="s">
        <v>194</v>
      </c>
      <c r="E54" s="5" t="s">
        <v>195</v>
      </c>
      <c r="F54" s="6" t="s">
        <v>140</v>
      </c>
      <c r="G54" s="4">
        <v>9</v>
      </c>
    </row>
    <row r="55" spans="1:8" s="37" customFormat="1">
      <c r="A55" s="32">
        <v>48</v>
      </c>
      <c r="B55" s="33" t="s">
        <v>196</v>
      </c>
      <c r="C55" s="34" t="s">
        <v>197</v>
      </c>
      <c r="D55" s="34" t="s">
        <v>198</v>
      </c>
      <c r="E55" s="35" t="s">
        <v>78</v>
      </c>
      <c r="F55" s="36" t="s">
        <v>140</v>
      </c>
      <c r="G55" s="34">
        <v>4</v>
      </c>
    </row>
    <row r="56" spans="1:8" s="37" customFormat="1" ht="19.5">
      <c r="A56" s="32">
        <v>49</v>
      </c>
      <c r="B56" s="33" t="s">
        <v>199</v>
      </c>
      <c r="C56" s="34" t="s">
        <v>200</v>
      </c>
      <c r="D56" s="34" t="s">
        <v>201</v>
      </c>
      <c r="E56" s="35" t="s">
        <v>202</v>
      </c>
      <c r="F56" s="36" t="s">
        <v>203</v>
      </c>
      <c r="G56" s="34">
        <v>13</v>
      </c>
    </row>
    <row r="57" spans="1:8" ht="19.5">
      <c r="A57" s="2">
        <v>50</v>
      </c>
      <c r="B57" s="3" t="s">
        <v>204</v>
      </c>
      <c r="C57" s="4" t="s">
        <v>205</v>
      </c>
      <c r="D57" s="4" t="s">
        <v>206</v>
      </c>
      <c r="E57" s="5" t="s">
        <v>207</v>
      </c>
      <c r="F57" s="6" t="s">
        <v>208</v>
      </c>
      <c r="G57" s="4">
        <v>13</v>
      </c>
    </row>
    <row r="58" spans="1:8" ht="19.5">
      <c r="A58" s="2">
        <v>51</v>
      </c>
      <c r="B58" s="3" t="s">
        <v>209</v>
      </c>
      <c r="C58" s="4" t="s">
        <v>210</v>
      </c>
      <c r="D58" s="4" t="s">
        <v>211</v>
      </c>
      <c r="E58" s="5" t="s">
        <v>212</v>
      </c>
      <c r="F58" s="6" t="s">
        <v>213</v>
      </c>
      <c r="G58" s="4">
        <v>13</v>
      </c>
    </row>
    <row r="59" spans="1:8" ht="19.5">
      <c r="A59" s="2">
        <v>52</v>
      </c>
      <c r="B59" s="3" t="s">
        <v>214</v>
      </c>
      <c r="C59" s="4" t="s">
        <v>215</v>
      </c>
      <c r="D59" s="4" t="s">
        <v>216</v>
      </c>
      <c r="E59" s="5" t="s">
        <v>217</v>
      </c>
      <c r="F59" s="6" t="s">
        <v>213</v>
      </c>
      <c r="G59" s="4">
        <v>13</v>
      </c>
    </row>
    <row r="60" spans="1:8">
      <c r="A60" s="2">
        <v>53</v>
      </c>
      <c r="B60" s="3" t="s">
        <v>218</v>
      </c>
      <c r="C60" s="4" t="s">
        <v>219</v>
      </c>
      <c r="D60" s="4" t="s">
        <v>220</v>
      </c>
      <c r="E60" s="5" t="s">
        <v>221</v>
      </c>
      <c r="F60" s="6" t="s">
        <v>222</v>
      </c>
      <c r="G60" s="4">
        <v>8</v>
      </c>
    </row>
    <row r="61" spans="1:8" ht="19.5">
      <c r="A61" s="2">
        <v>54</v>
      </c>
      <c r="B61" s="16" t="s">
        <v>223</v>
      </c>
      <c r="C61" s="17" t="s">
        <v>224</v>
      </c>
      <c r="D61" s="17" t="s">
        <v>225</v>
      </c>
      <c r="E61" s="18" t="s">
        <v>226</v>
      </c>
      <c r="F61" s="19" t="s">
        <v>227</v>
      </c>
      <c r="G61" s="17">
        <v>14</v>
      </c>
    </row>
    <row r="62" spans="1:8" ht="19.5">
      <c r="A62" s="2">
        <v>55</v>
      </c>
      <c r="B62" s="22" t="s">
        <v>228</v>
      </c>
      <c r="C62" s="23" t="s">
        <v>229</v>
      </c>
      <c r="D62" s="23" t="s">
        <v>230</v>
      </c>
      <c r="E62" s="24" t="s">
        <v>231</v>
      </c>
      <c r="F62" s="25" t="s">
        <v>64</v>
      </c>
      <c r="G62" s="23">
        <v>1</v>
      </c>
      <c r="H62" s="21" t="s">
        <v>232</v>
      </c>
    </row>
    <row r="63" spans="1:8" ht="19.5">
      <c r="A63" s="2">
        <v>56</v>
      </c>
      <c r="B63" s="22" t="s">
        <v>233</v>
      </c>
      <c r="C63" s="23" t="s">
        <v>234</v>
      </c>
      <c r="D63" s="23" t="s">
        <v>235</v>
      </c>
      <c r="E63" s="24" t="s">
        <v>236</v>
      </c>
      <c r="F63" s="25" t="s">
        <v>140</v>
      </c>
      <c r="G63" s="23">
        <v>12</v>
      </c>
      <c r="H63" s="21" t="s">
        <v>232</v>
      </c>
    </row>
    <row r="64" spans="1:8">
      <c r="A64" s="2">
        <v>57</v>
      </c>
      <c r="B64" s="22" t="s">
        <v>237</v>
      </c>
      <c r="C64" s="23" t="s">
        <v>238</v>
      </c>
      <c r="D64" s="23" t="s">
        <v>239</v>
      </c>
      <c r="E64" s="24" t="s">
        <v>240</v>
      </c>
      <c r="F64" s="25" t="s">
        <v>140</v>
      </c>
      <c r="G64" s="23">
        <v>13</v>
      </c>
      <c r="H64" s="21" t="s">
        <v>232</v>
      </c>
    </row>
    <row r="65" spans="1:8">
      <c r="A65" s="2">
        <v>58</v>
      </c>
      <c r="B65" s="22" t="s">
        <v>241</v>
      </c>
      <c r="C65" s="23" t="s">
        <v>242</v>
      </c>
      <c r="D65" s="23" t="s">
        <v>35</v>
      </c>
      <c r="E65" s="24" t="s">
        <v>243</v>
      </c>
      <c r="F65" s="25" t="s">
        <v>140</v>
      </c>
      <c r="G65" s="23">
        <v>13</v>
      </c>
      <c r="H65" t="s">
        <v>244</v>
      </c>
    </row>
    <row r="66" spans="1:8" s="37" customFormat="1">
      <c r="A66" s="32">
        <v>59</v>
      </c>
      <c r="B66" s="38" t="s">
        <v>245</v>
      </c>
      <c r="C66" s="39" t="s">
        <v>246</v>
      </c>
      <c r="D66" s="39" t="s">
        <v>247</v>
      </c>
      <c r="E66" s="40" t="s">
        <v>248</v>
      </c>
      <c r="F66" s="41" t="s">
        <v>140</v>
      </c>
      <c r="G66" s="39">
        <v>7</v>
      </c>
      <c r="H66" s="37" t="s">
        <v>244</v>
      </c>
    </row>
    <row r="67" spans="1:8" ht="19.5">
      <c r="A67" s="2">
        <v>60</v>
      </c>
      <c r="B67" s="22" t="s">
        <v>249</v>
      </c>
      <c r="C67" s="23" t="s">
        <v>250</v>
      </c>
      <c r="D67" s="23" t="s">
        <v>251</v>
      </c>
      <c r="E67" s="24" t="s">
        <v>252</v>
      </c>
      <c r="F67" s="25" t="s">
        <v>21</v>
      </c>
      <c r="G67" s="23">
        <v>8</v>
      </c>
      <c r="H67" t="s">
        <v>244</v>
      </c>
    </row>
    <row r="68" spans="1:8">
      <c r="A68" s="2">
        <v>61</v>
      </c>
      <c r="B68" s="22" t="s">
        <v>253</v>
      </c>
      <c r="C68" s="23" t="s">
        <v>254</v>
      </c>
      <c r="D68" s="23" t="s">
        <v>255</v>
      </c>
      <c r="E68" s="24" t="s">
        <v>256</v>
      </c>
      <c r="F68" s="25" t="s">
        <v>64</v>
      </c>
      <c r="G68" s="23">
        <v>2</v>
      </c>
      <c r="H68" t="s">
        <v>244</v>
      </c>
    </row>
    <row r="69" spans="1:8" s="37" customFormat="1" ht="19.5">
      <c r="A69" s="32">
        <v>62</v>
      </c>
      <c r="B69" s="38" t="s">
        <v>257</v>
      </c>
      <c r="C69" s="39" t="s">
        <v>258</v>
      </c>
      <c r="D69" s="39" t="s">
        <v>259</v>
      </c>
      <c r="E69" s="40" t="s">
        <v>260</v>
      </c>
      <c r="F69" s="41" t="s">
        <v>64</v>
      </c>
      <c r="G69" s="39">
        <v>2</v>
      </c>
      <c r="H69" s="37" t="s">
        <v>244</v>
      </c>
    </row>
    <row r="70" spans="1:8" s="37" customFormat="1">
      <c r="A70" s="32">
        <v>63</v>
      </c>
      <c r="B70" s="38" t="s">
        <v>261</v>
      </c>
      <c r="C70" s="39" t="s">
        <v>262</v>
      </c>
      <c r="D70" s="39" t="s">
        <v>263</v>
      </c>
      <c r="E70" s="40" t="s">
        <v>264</v>
      </c>
      <c r="F70" s="41" t="s">
        <v>64</v>
      </c>
      <c r="G70" s="39">
        <v>3</v>
      </c>
      <c r="H70" s="37" t="s">
        <v>244</v>
      </c>
    </row>
    <row r="71" spans="1:8">
      <c r="A71" s="2">
        <v>64</v>
      </c>
      <c r="B71" s="26" t="s">
        <v>265</v>
      </c>
      <c r="C71" s="27" t="s">
        <v>266</v>
      </c>
      <c r="D71" s="27" t="s">
        <v>239</v>
      </c>
      <c r="E71" s="28" t="s">
        <v>267</v>
      </c>
      <c r="F71" s="29" t="s">
        <v>64</v>
      </c>
      <c r="G71" s="27">
        <v>2</v>
      </c>
      <c r="H71" t="s">
        <v>244</v>
      </c>
    </row>
    <row r="72" spans="1:8" ht="19.5">
      <c r="A72" s="2">
        <v>65</v>
      </c>
      <c r="B72" s="22" t="s">
        <v>268</v>
      </c>
      <c r="C72" s="23" t="s">
        <v>269</v>
      </c>
      <c r="D72" s="23" t="s">
        <v>270</v>
      </c>
      <c r="E72" s="24" t="s">
        <v>271</v>
      </c>
      <c r="F72" s="25" t="s">
        <v>64</v>
      </c>
      <c r="G72" s="23">
        <v>2</v>
      </c>
      <c r="H72" t="s">
        <v>244</v>
      </c>
    </row>
    <row r="73" spans="1:8">
      <c r="A73" s="2">
        <v>66</v>
      </c>
      <c r="B73" s="22" t="s">
        <v>272</v>
      </c>
      <c r="C73" s="23" t="s">
        <v>273</v>
      </c>
      <c r="D73" s="23" t="s">
        <v>274</v>
      </c>
      <c r="E73" s="24" t="s">
        <v>275</v>
      </c>
      <c r="F73" s="25" t="s">
        <v>140</v>
      </c>
      <c r="G73" s="23">
        <v>7</v>
      </c>
      <c r="H73" t="s">
        <v>244</v>
      </c>
    </row>
    <row r="74" spans="1:8">
      <c r="A74" s="2">
        <v>67</v>
      </c>
      <c r="B74" s="22" t="s">
        <v>276</v>
      </c>
      <c r="C74" s="23" t="s">
        <v>277</v>
      </c>
      <c r="D74" s="23" t="s">
        <v>201</v>
      </c>
      <c r="E74" s="24" t="s">
        <v>278</v>
      </c>
      <c r="F74" s="25" t="s">
        <v>140</v>
      </c>
      <c r="G74" s="23">
        <v>7</v>
      </c>
      <c r="H74" t="s">
        <v>244</v>
      </c>
    </row>
    <row r="75" spans="1:8">
      <c r="A75" s="12"/>
      <c r="B75" s="13"/>
      <c r="C75" s="8"/>
      <c r="D75" s="8"/>
      <c r="E75" s="14"/>
      <c r="F75" s="15"/>
      <c r="G75" s="8"/>
    </row>
    <row r="76" spans="1:8">
      <c r="A76" s="12"/>
      <c r="B76" s="13"/>
      <c r="C76" s="8"/>
      <c r="D76" s="8"/>
      <c r="E76" s="14"/>
      <c r="F76" s="15"/>
      <c r="G76" s="8"/>
    </row>
    <row r="77" spans="1:8">
      <c r="A77" s="12"/>
      <c r="B77" s="13"/>
      <c r="C77" s="8"/>
      <c r="D77" s="8"/>
      <c r="E77" s="14"/>
      <c r="F77" s="15"/>
      <c r="G77" s="8"/>
    </row>
    <row r="78" spans="1:8">
      <c r="A78" s="12"/>
      <c r="B78" s="13"/>
      <c r="C78" s="8"/>
      <c r="D78" s="8"/>
      <c r="E78" s="14"/>
      <c r="F78" s="15"/>
      <c r="G78" s="8"/>
    </row>
    <row r="79" spans="1:8">
      <c r="A79" s="7"/>
      <c r="B79" s="8" t="s">
        <v>279</v>
      </c>
    </row>
    <row r="80" spans="1:8">
      <c r="A80" s="7"/>
      <c r="B80" s="7"/>
      <c r="C80" s="7"/>
      <c r="D80" s="7"/>
      <c r="E80" s="7"/>
      <c r="F80" s="9" t="s">
        <v>280</v>
      </c>
    </row>
    <row r="81" spans="1:6">
      <c r="A81" s="7"/>
      <c r="B81" s="7"/>
      <c r="C81" s="7"/>
      <c r="D81" s="7"/>
      <c r="E81" s="7"/>
      <c r="F81" s="10" t="s">
        <v>281</v>
      </c>
    </row>
    <row r="82" spans="1:6">
      <c r="A82" s="7"/>
      <c r="B82" s="7"/>
      <c r="C82" s="7"/>
      <c r="D82" s="7"/>
      <c r="E82" s="7"/>
      <c r="F82" s="11" t="s">
        <v>282</v>
      </c>
    </row>
  </sheetData>
  <autoFilter ref="A7:G74" xr:uid="{125BAB23-6E85-4EEB-8075-ED3A351DD277}">
    <filterColumn colId="2" showButton="0"/>
  </autoFilter>
  <mergeCells count="11">
    <mergeCell ref="A5:D5"/>
    <mergeCell ref="E5:G5"/>
    <mergeCell ref="A6:D6"/>
    <mergeCell ref="E6:G6"/>
    <mergeCell ref="C7:D7"/>
    <mergeCell ref="A4:G4"/>
    <mergeCell ref="A1:B1"/>
    <mergeCell ref="A2:B2"/>
    <mergeCell ref="C1:I1"/>
    <mergeCell ref="C2:I2"/>
    <mergeCell ref="A3:G3"/>
  </mergeCells>
  <phoneticPr fontId="2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9913-ED8C-486E-8CC5-FD35287956B1}">
  <sheetPr codeName="Sheet2"/>
  <dimension ref="A1:F16"/>
  <sheetViews>
    <sheetView zoomScale="90" zoomScaleNormal="90" workbookViewId="0"/>
  </sheetViews>
  <sheetFormatPr defaultColWidth="9.140625" defaultRowHeight="18.600000000000001"/>
  <cols>
    <col min="1" max="1" width="7.85546875" style="31" customWidth="1"/>
    <col min="2" max="3" width="11.5703125" style="31" customWidth="1"/>
    <col min="4" max="4" width="13.7109375" style="31" customWidth="1"/>
    <col min="5" max="5" width="15.28515625" style="31" customWidth="1"/>
    <col min="6" max="6" width="30.85546875" style="31" customWidth="1"/>
    <col min="7" max="7" width="14.28515625" style="31" customWidth="1"/>
    <col min="8" max="16384" width="9.140625" style="31"/>
  </cols>
  <sheetData>
    <row r="1" spans="1:6" s="46" customFormat="1">
      <c r="A1" s="45" t="s">
        <v>283</v>
      </c>
      <c r="B1" s="45" t="s">
        <v>284</v>
      </c>
      <c r="C1" s="45" t="s">
        <v>285</v>
      </c>
      <c r="D1" s="45" t="s">
        <v>286</v>
      </c>
      <c r="E1" s="45" t="s">
        <v>287</v>
      </c>
      <c r="F1" s="45" t="s">
        <v>288</v>
      </c>
    </row>
    <row r="2" spans="1:6">
      <c r="A2" s="30">
        <v>1</v>
      </c>
      <c r="B2" s="30">
        <f>COUNTIF('cnpm 24cntt1'!$G$8:$G$79,A2)</f>
        <v>5</v>
      </c>
      <c r="C2" s="30" t="str">
        <f>"0"&amp;A2</f>
        <v>01</v>
      </c>
      <c r="D2" s="30">
        <v>7</v>
      </c>
      <c r="E2" s="30" t="str">
        <f>VLOOKUP(D2,project!$A$2:$B$15,2,FALSE)</f>
        <v>BS7</v>
      </c>
      <c r="F2" s="30" t="str">
        <f>VLOOKUP(D2,project!$A$2:$C$15,3,FALSE)</f>
        <v>Chăm sóc KH (Liên hệ)</v>
      </c>
    </row>
    <row r="3" spans="1:6">
      <c r="A3" s="30">
        <v>2</v>
      </c>
      <c r="B3" s="30">
        <f>COUNTIF('cnpm 24cntt1'!$G$8:$G$79,A3)</f>
        <v>5</v>
      </c>
      <c r="C3" s="30" t="str">
        <f t="shared" ref="C3:C15" si="0">"0"&amp;A3</f>
        <v>02</v>
      </c>
      <c r="D3" s="30">
        <v>5</v>
      </c>
      <c r="E3" s="30" t="str">
        <f>VLOOKUP(D3,project!$A$2:$B$15,2,FALSE)</f>
        <v>BS5</v>
      </c>
      <c r="F3" s="30" t="str">
        <f>VLOOKUP(D3,project!$A$2:$C$15,3,FALSE)</f>
        <v>Tìm kiếm</v>
      </c>
    </row>
    <row r="4" spans="1:6">
      <c r="A4" s="30">
        <v>3</v>
      </c>
      <c r="B4" s="30">
        <f>COUNTIF('cnpm 24cntt1'!$G$8:$G$79,A4)</f>
        <v>5</v>
      </c>
      <c r="C4" s="30" t="str">
        <f t="shared" si="0"/>
        <v>03</v>
      </c>
      <c r="D4" s="30">
        <v>10</v>
      </c>
      <c r="E4" s="30" t="str">
        <f>VLOOKUP(D4,project!$A$2:$B$15,2,FALSE)</f>
        <v>VR3</v>
      </c>
      <c r="F4" s="30" t="str">
        <f>VLOOKUP(D4,project!$A$2:$C$15,3,FALSE)</f>
        <v>Đặt hàng</v>
      </c>
    </row>
    <row r="5" spans="1:6">
      <c r="A5" s="30">
        <v>4</v>
      </c>
      <c r="B5" s="30">
        <f>COUNTIF('cnpm 24cntt1'!$G$8:$G$79,A5)</f>
        <v>4</v>
      </c>
      <c r="C5" s="30" t="str">
        <f t="shared" si="0"/>
        <v>04</v>
      </c>
      <c r="D5" s="30">
        <v>13</v>
      </c>
      <c r="E5" s="30" t="str">
        <f>VLOOKUP(D5,project!$A$2:$B$15,2,FALSE)</f>
        <v>VR6</v>
      </c>
      <c r="F5" s="30" t="str">
        <f>VLOOKUP(D5,project!$A$2:$C$15,3,FALSE)</f>
        <v>Giao hàng</v>
      </c>
    </row>
    <row r="6" spans="1:6">
      <c r="A6" s="30">
        <v>5</v>
      </c>
      <c r="B6" s="30">
        <f>COUNTIF('cnpm 24cntt1'!$G$8:$G$79,A6)</f>
        <v>5</v>
      </c>
      <c r="C6" s="30" t="str">
        <f t="shared" si="0"/>
        <v>05</v>
      </c>
      <c r="D6" s="30">
        <v>9</v>
      </c>
      <c r="E6" s="30" t="str">
        <f>VLOOKUP(D6,project!$A$2:$B$15,2,FALSE)</f>
        <v>VR2</v>
      </c>
      <c r="F6" s="30" t="str">
        <f>VLOOKUP(D6,project!$A$2:$C$15,3,FALSE)</f>
        <v>Quản lí</v>
      </c>
    </row>
    <row r="7" spans="1:6">
      <c r="A7" s="30">
        <v>6</v>
      </c>
      <c r="B7" s="30">
        <f>COUNTIF('cnpm 24cntt1'!$G$8:$G$79,A7)</f>
        <v>5</v>
      </c>
      <c r="C7" s="30" t="str">
        <f t="shared" si="0"/>
        <v>06</v>
      </c>
      <c r="D7" s="30">
        <v>1</v>
      </c>
      <c r="E7" s="30" t="str">
        <f>VLOOKUP(D7,project!$A$2:$B$15,2,FALSE)</f>
        <v>BS1</v>
      </c>
      <c r="F7" s="30" t="str">
        <f>VLOOKUP(D7,project!$A$2:$C$15,3,FALSE)</f>
        <v>Phân quyền</v>
      </c>
    </row>
    <row r="8" spans="1:6">
      <c r="A8" s="30">
        <v>7</v>
      </c>
      <c r="B8" s="30">
        <f>COUNTIF('cnpm 24cntt1'!$G$8:$G$79,A8)</f>
        <v>6</v>
      </c>
      <c r="C8" s="30" t="str">
        <f t="shared" si="0"/>
        <v>07</v>
      </c>
      <c r="D8" s="30">
        <v>2</v>
      </c>
      <c r="E8" s="30" t="str">
        <f>VLOOKUP(D8,project!$A$2:$B$15,2,FALSE)</f>
        <v>BS2</v>
      </c>
      <c r="F8" s="30" t="str">
        <f>VLOOKUP(D8,project!$A$2:$C$15,3,FALSE)</f>
        <v>Quản lí</v>
      </c>
    </row>
    <row r="9" spans="1:6">
      <c r="A9" s="30">
        <v>8</v>
      </c>
      <c r="B9" s="30">
        <f>COUNTIF('cnpm 24cntt1'!$G$8:$G$79,A9)</f>
        <v>4</v>
      </c>
      <c r="C9" s="30" t="str">
        <f t="shared" si="0"/>
        <v>08</v>
      </c>
      <c r="D9" s="30">
        <v>6</v>
      </c>
      <c r="E9" s="30" t="str">
        <f>VLOOKUP(D9,project!$A$2:$B$15,2,FALSE)</f>
        <v>BS6</v>
      </c>
      <c r="F9" s="30" t="str">
        <f>VLOOKUP(D9,project!$A$2:$C$15,3,FALSE)</f>
        <v>Giao hàng</v>
      </c>
    </row>
    <row r="10" spans="1:6">
      <c r="A10" s="30">
        <v>9</v>
      </c>
      <c r="B10" s="30">
        <f>COUNTIF('cnpm 24cntt1'!$G$8:$G$79,A10)</f>
        <v>6</v>
      </c>
      <c r="C10" s="30" t="str">
        <f t="shared" si="0"/>
        <v>09</v>
      </c>
      <c r="D10" s="30">
        <v>12</v>
      </c>
      <c r="E10" s="30" t="str">
        <f>VLOOKUP(D10,project!$A$2:$B$15,2,FALSE)</f>
        <v>VR5</v>
      </c>
      <c r="F10" s="30" t="str">
        <f>VLOOKUP(D10,project!$A$2:$C$15,3,FALSE)</f>
        <v>Tìm kiếm</v>
      </c>
    </row>
    <row r="11" spans="1:6">
      <c r="A11" s="30">
        <v>10</v>
      </c>
      <c r="B11" s="30">
        <f>COUNTIF('cnpm 24cntt1'!$G$8:$G$79,A11)</f>
        <v>5</v>
      </c>
      <c r="C11" s="30" t="str">
        <f>_xlfn.VALUETOTEXT(A11)</f>
        <v>10</v>
      </c>
      <c r="D11" s="30">
        <v>11</v>
      </c>
      <c r="E11" s="30" t="str">
        <f>VLOOKUP(D11,project!$A$2:$B$15,2,FALSE)</f>
        <v>VR4</v>
      </c>
      <c r="F11" s="30" t="str">
        <f>VLOOKUP(D11,project!$A$2:$C$15,3,FALSE)</f>
        <v>Thanh toán</v>
      </c>
    </row>
    <row r="12" spans="1:6">
      <c r="A12" s="30">
        <v>11</v>
      </c>
      <c r="B12" s="30">
        <f>COUNTIF('cnpm 24cntt1'!$G$8:$G$79,A12)</f>
        <v>4</v>
      </c>
      <c r="C12" s="30" t="str">
        <f t="shared" ref="C12:C15" si="1">_xlfn.VALUETOTEXT(A12)</f>
        <v>11</v>
      </c>
      <c r="D12" s="30">
        <v>14</v>
      </c>
      <c r="E12" s="30" t="str">
        <f>VLOOKUP(D12,project!$A$2:$B$15,2,FALSE)</f>
        <v>VR7</v>
      </c>
      <c r="F12" s="30" t="str">
        <f>VLOOKUP(D12,project!$A$2:$C$15,3,FALSE)</f>
        <v>Chăm sóc KH (Liên hệ)</v>
      </c>
    </row>
    <row r="13" spans="1:6">
      <c r="A13" s="30">
        <v>12</v>
      </c>
      <c r="B13" s="30">
        <f>COUNTIF('cnpm 24cntt1'!$G$8:$G$79,A13)</f>
        <v>5</v>
      </c>
      <c r="C13" s="30" t="str">
        <f t="shared" si="1"/>
        <v>12</v>
      </c>
      <c r="D13" s="30">
        <v>3</v>
      </c>
      <c r="E13" s="30" t="str">
        <f>VLOOKUP(D13,project!$A$2:$B$15,2,FALSE)</f>
        <v>BS3</v>
      </c>
      <c r="F13" s="30" t="str">
        <f>VLOOKUP(D13,project!$A$2:$C$15,3,FALSE)</f>
        <v>Đặt hàng</v>
      </c>
    </row>
    <row r="14" spans="1:6">
      <c r="A14" s="30">
        <v>13</v>
      </c>
      <c r="B14" s="30">
        <f>COUNTIF('cnpm 24cntt1'!$G$8:$G$79,A14)</f>
        <v>6</v>
      </c>
      <c r="C14" s="30" t="str">
        <f t="shared" si="1"/>
        <v>13</v>
      </c>
      <c r="D14" s="30">
        <v>8</v>
      </c>
      <c r="E14" s="30" t="str">
        <f>VLOOKUP(D14,project!$A$2:$B$15,2,FALSE)</f>
        <v>VR1</v>
      </c>
      <c r="F14" s="30" t="str">
        <f>VLOOKUP(D14,project!$A$2:$C$15,3,FALSE)</f>
        <v>Phân quyền</v>
      </c>
    </row>
    <row r="15" spans="1:6">
      <c r="A15" s="30">
        <v>14</v>
      </c>
      <c r="B15" s="30">
        <f>COUNTIF('cnpm 24cntt1'!$G$8:$G$79,A15)</f>
        <v>2</v>
      </c>
      <c r="C15" s="30" t="str">
        <f t="shared" si="1"/>
        <v>14</v>
      </c>
      <c r="D15" s="30">
        <v>4</v>
      </c>
      <c r="E15" s="30" t="str">
        <f>VLOOKUP(D15,project!$A$2:$B$15,2,FALSE)</f>
        <v>BS4</v>
      </c>
      <c r="F15" s="30" t="str">
        <f>VLOOKUP(D15,project!$A$2:$C$15,3,FALSE)</f>
        <v>Thanh toán</v>
      </c>
    </row>
    <row r="16" spans="1:6">
      <c r="B16" s="31">
        <f>SUM(B2:B15)</f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F9CB5-C7B7-46BA-A6D3-350D563144E2}">
  <sheetPr codeName="Sheet3"/>
  <dimension ref="A1:F19"/>
  <sheetViews>
    <sheetView tabSelected="1" zoomScale="140" zoomScaleNormal="140" workbookViewId="0">
      <selection sqref="A1:C1"/>
    </sheetView>
  </sheetViews>
  <sheetFormatPr defaultRowHeight="14.45"/>
  <cols>
    <col min="1" max="1" width="5.28515625" customWidth="1"/>
    <col min="2" max="2" width="11.42578125" customWidth="1"/>
    <col min="3" max="3" width="20.42578125" customWidth="1"/>
    <col min="4" max="4" width="10.140625" customWidth="1"/>
    <col min="5" max="5" width="24.140625" customWidth="1"/>
    <col min="6" max="6" width="20.85546875" hidden="1" customWidth="1"/>
    <col min="7" max="7" width="1.5703125" customWidth="1"/>
  </cols>
  <sheetData>
    <row r="1" spans="1:6">
      <c r="A1" s="20" t="s">
        <v>289</v>
      </c>
      <c r="B1" s="20" t="s">
        <v>287</v>
      </c>
      <c r="C1" s="20" t="s">
        <v>290</v>
      </c>
      <c r="D1" t="s">
        <v>291</v>
      </c>
      <c r="E1" s="20" t="s">
        <v>292</v>
      </c>
    </row>
    <row r="2" spans="1:6" s="20" customFormat="1">
      <c r="A2">
        <v>1</v>
      </c>
      <c r="B2" t="s">
        <v>293</v>
      </c>
      <c r="C2" t="s">
        <v>294</v>
      </c>
      <c r="D2" s="20" t="s">
        <v>295</v>
      </c>
      <c r="E2" s="20" t="s">
        <v>296</v>
      </c>
      <c r="F2" s="20" t="s">
        <v>297</v>
      </c>
    </row>
    <row r="3" spans="1:6">
      <c r="A3">
        <v>2</v>
      </c>
      <c r="B3" t="s">
        <v>298</v>
      </c>
      <c r="C3" t="s">
        <v>299</v>
      </c>
      <c r="D3">
        <v>1</v>
      </c>
      <c r="E3" t="s">
        <v>294</v>
      </c>
      <c r="F3" t="s">
        <v>300</v>
      </c>
    </row>
    <row r="4" spans="1:6">
      <c r="A4">
        <v>3</v>
      </c>
      <c r="B4" t="s">
        <v>301</v>
      </c>
      <c r="C4" t="s">
        <v>302</v>
      </c>
      <c r="D4">
        <v>2</v>
      </c>
      <c r="E4" t="s">
        <v>299</v>
      </c>
      <c r="F4" t="s">
        <v>303</v>
      </c>
    </row>
    <row r="5" spans="1:6">
      <c r="A5">
        <v>4</v>
      </c>
      <c r="B5" t="s">
        <v>304</v>
      </c>
      <c r="C5" t="s">
        <v>305</v>
      </c>
      <c r="D5">
        <v>3</v>
      </c>
      <c r="E5" t="s">
        <v>302</v>
      </c>
      <c r="F5" t="s">
        <v>306</v>
      </c>
    </row>
    <row r="6" spans="1:6">
      <c r="A6">
        <v>5</v>
      </c>
      <c r="B6" t="s">
        <v>307</v>
      </c>
      <c r="C6" t="s">
        <v>308</v>
      </c>
      <c r="D6">
        <v>4</v>
      </c>
      <c r="E6" t="s">
        <v>305</v>
      </c>
      <c r="F6" t="s">
        <v>309</v>
      </c>
    </row>
    <row r="7" spans="1:6">
      <c r="A7">
        <v>6</v>
      </c>
      <c r="B7" t="s">
        <v>310</v>
      </c>
      <c r="C7" t="s">
        <v>311</v>
      </c>
      <c r="D7">
        <v>5</v>
      </c>
      <c r="E7" t="s">
        <v>308</v>
      </c>
    </row>
    <row r="8" spans="1:6">
      <c r="A8">
        <v>7</v>
      </c>
      <c r="B8" t="s">
        <v>312</v>
      </c>
      <c r="C8" t="s">
        <v>313</v>
      </c>
      <c r="D8">
        <v>6</v>
      </c>
      <c r="E8" t="s">
        <v>311</v>
      </c>
      <c r="F8" t="s">
        <v>314</v>
      </c>
    </row>
    <row r="9" spans="1:6">
      <c r="A9">
        <v>8</v>
      </c>
      <c r="B9" t="s">
        <v>315</v>
      </c>
      <c r="C9" t="s">
        <v>294</v>
      </c>
      <c r="D9">
        <v>7</v>
      </c>
      <c r="E9" t="s">
        <v>313</v>
      </c>
    </row>
    <row r="10" spans="1:6">
      <c r="A10">
        <v>9</v>
      </c>
      <c r="B10" t="s">
        <v>316</v>
      </c>
      <c r="C10" t="s">
        <v>299</v>
      </c>
    </row>
    <row r="11" spans="1:6">
      <c r="A11">
        <v>10</v>
      </c>
      <c r="B11" t="s">
        <v>317</v>
      </c>
      <c r="C11" t="s">
        <v>302</v>
      </c>
      <c r="D11" t="s">
        <v>318</v>
      </c>
      <c r="E11" s="20" t="s">
        <v>319</v>
      </c>
    </row>
    <row r="12" spans="1:6">
      <c r="A12">
        <v>11</v>
      </c>
      <c r="B12" t="s">
        <v>320</v>
      </c>
      <c r="C12" t="s">
        <v>305</v>
      </c>
      <c r="D12" s="20" t="s">
        <v>295</v>
      </c>
      <c r="E12" s="20" t="s">
        <v>296</v>
      </c>
    </row>
    <row r="13" spans="1:6">
      <c r="A13">
        <v>12</v>
      </c>
      <c r="B13" t="s">
        <v>321</v>
      </c>
      <c r="C13" t="s">
        <v>308</v>
      </c>
      <c r="D13">
        <v>1</v>
      </c>
      <c r="E13" t="s">
        <v>294</v>
      </c>
    </row>
    <row r="14" spans="1:6">
      <c r="A14">
        <v>13</v>
      </c>
      <c r="B14" t="s">
        <v>322</v>
      </c>
      <c r="C14" t="s">
        <v>311</v>
      </c>
      <c r="D14">
        <v>2</v>
      </c>
      <c r="E14" t="s">
        <v>299</v>
      </c>
      <c r="F14" t="s">
        <v>323</v>
      </c>
    </row>
    <row r="15" spans="1:6">
      <c r="A15">
        <v>14</v>
      </c>
      <c r="B15" t="s">
        <v>324</v>
      </c>
      <c r="C15" t="s">
        <v>313</v>
      </c>
      <c r="D15">
        <v>3</v>
      </c>
      <c r="E15" t="s">
        <v>302</v>
      </c>
    </row>
    <row r="16" spans="1:6">
      <c r="D16">
        <v>4</v>
      </c>
      <c r="E16" t="s">
        <v>305</v>
      </c>
    </row>
    <row r="17" spans="4:5">
      <c r="D17">
        <v>5</v>
      </c>
      <c r="E17" t="s">
        <v>308</v>
      </c>
    </row>
    <row r="18" spans="4:5">
      <c r="D18">
        <v>6</v>
      </c>
      <c r="E18" t="s">
        <v>311</v>
      </c>
    </row>
    <row r="19" spans="4:5">
      <c r="D19">
        <v>7</v>
      </c>
      <c r="E19" t="s">
        <v>313</v>
      </c>
    </row>
  </sheetData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2F03D-AFC9-4512-9760-5A5BC7474734}">
  <dimension ref="A1:E6"/>
  <sheetViews>
    <sheetView showGridLines="0" workbookViewId="0">
      <selection activeCell="H15" sqref="H15"/>
    </sheetView>
  </sheetViews>
  <sheetFormatPr defaultColWidth="8.7109375" defaultRowHeight="14.45"/>
  <cols>
    <col min="1" max="1" width="8.7109375" style="43"/>
    <col min="2" max="2" width="4.42578125" style="43" customWidth="1"/>
    <col min="3" max="16384" width="8.7109375" style="43"/>
  </cols>
  <sheetData>
    <row r="1" spans="1:5" s="44" customFormat="1">
      <c r="A1" s="43" t="s">
        <v>325</v>
      </c>
      <c r="B1" s="43"/>
      <c r="C1" s="43"/>
      <c r="D1" s="43"/>
      <c r="E1" s="43"/>
    </row>
    <row r="2" spans="1:5" s="44" customFormat="1">
      <c r="A2" s="43"/>
      <c r="B2" s="47" t="s">
        <v>326</v>
      </c>
      <c r="C2" s="43"/>
      <c r="D2" s="43"/>
      <c r="E2" s="43"/>
    </row>
    <row r="3" spans="1:5" s="44" customFormat="1">
      <c r="A3" s="43" t="s">
        <v>327</v>
      </c>
      <c r="B3" s="43" t="s">
        <v>328</v>
      </c>
      <c r="C3" s="43"/>
      <c r="D3" s="43"/>
      <c r="E3" s="43"/>
    </row>
    <row r="4" spans="1:5">
      <c r="C4" s="43" t="s">
        <v>329</v>
      </c>
    </row>
    <row r="5" spans="1:5">
      <c r="C5" s="43" t="s">
        <v>330</v>
      </c>
    </row>
    <row r="6" spans="1:5">
      <c r="C6" s="43" t="s">
        <v>331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69D5E26BC89C4A9B32CED9B75C1724" ma:contentTypeVersion="3" ma:contentTypeDescription="Create a new document." ma:contentTypeScope="" ma:versionID="942cecb789a61c7e33f681c58f3d1bec">
  <xsd:schema xmlns:xsd="http://www.w3.org/2001/XMLSchema" xmlns:xs="http://www.w3.org/2001/XMLSchema" xmlns:p="http://schemas.microsoft.com/office/2006/metadata/properties" xmlns:ns2="b5495f78-7e61-4729-b697-065a5e26e646" targetNamespace="http://schemas.microsoft.com/office/2006/metadata/properties" ma:root="true" ma:fieldsID="358a5359cb1d2c3679fa7a2ecb024e60" ns2:_="">
    <xsd:import namespace="b5495f78-7e61-4729-b697-065a5e26e6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95f78-7e61-4729-b697-065a5e26e6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279F66-507A-4CBA-8E9F-EE933CFDC3E6}"/>
</file>

<file path=customXml/itemProps2.xml><?xml version="1.0" encoding="utf-8"?>
<ds:datastoreItem xmlns:ds="http://schemas.openxmlformats.org/officeDocument/2006/customXml" ds:itemID="{30F360E2-D5CE-495D-AEDA-F4FE24E6231A}"/>
</file>

<file path=customXml/itemProps3.xml><?xml version="1.0" encoding="utf-8"?>
<ds:datastoreItem xmlns:ds="http://schemas.openxmlformats.org/officeDocument/2006/customXml" ds:itemID="{BAAC8799-6F8B-473E-A83A-D171388BD6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Ngô Nguyên Ngọc</cp:lastModifiedBy>
  <cp:revision/>
  <dcterms:created xsi:type="dcterms:W3CDTF">2026-08-20T07:44:35Z</dcterms:created>
  <dcterms:modified xsi:type="dcterms:W3CDTF">2026-10-02T15:28:52Z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0x0101007069D5E26BC89C4A9B32CED9B75C1724</vt:lpwstr>
  </property>
</Properties>
</file>